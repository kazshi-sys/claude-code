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ポテトチップス" sheetId="1" state="visible" r:id="rId3"/>
    <sheet name="②袋麺" sheetId="2" state="visible" r:id="rId4"/>
    <sheet name="③レトルトカレー" sheetId="3" state="visible" r:id="rId5"/>
    <sheet name="④ツナ缶" sheetId="4" state="visible" r:id="rId6"/>
  </sheets>
  <definedNames>
    <definedName function="false" hidden="false" localSheetId="0" name="_xlnm.Print_Area" vbProcedure="false">①ポテトチップス!$A$1:$H$40</definedName>
    <definedName function="false" hidden="false" localSheetId="1" name="_xlnm.Print_Area" vbProcedure="false">②袋麺!$A$1:$H$40</definedName>
    <definedName function="false" hidden="false" localSheetId="2" name="_xlnm.Print_Area" vbProcedure="false">③レトルトカレー!$A$1:$H$40</definedName>
    <definedName function="false" hidden="false" localSheetId="3" name="_xlnm.Print_Area" vbProcedure="false">④ツナ缶!$A$1:$H$40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税抜で入力。価格・条件は仮の例です。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税抜で入力。価格・条件は仮の例です。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税抜で入力。価格・条件は仮の例です。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税抜で入力。価格・条件は仮の例です。</t>
        </r>
      </text>
    </comment>
  </commentList>
</comments>
</file>

<file path=xl/sharedStrings.xml><?xml version="1.0" encoding="utf-8"?>
<sst xmlns="http://schemas.openxmlformats.org/spreadsheetml/2006/main" count="236" uniqueCount="101">
  <si>
    <r>
      <rPr>
        <b val="true"/>
        <sz val="16"/>
        <color rgb="FFFFFFFF"/>
        <rFont val="Arial"/>
        <family val="0"/>
        <charset val="1"/>
      </rPr>
      <t xml:space="preserve">FCP </t>
    </r>
    <r>
      <rPr>
        <b val="true"/>
        <sz val="16"/>
        <color rgb="FFFFFFFF"/>
        <rFont val="WenQuanYi Zen Hei"/>
        <family val="2"/>
      </rPr>
      <t xml:space="preserve">シート</t>
    </r>
    <r>
      <rPr>
        <b val="true"/>
        <sz val="16"/>
        <color rgb="FFFFFFFF"/>
        <rFont val="Arial"/>
        <family val="0"/>
        <charset val="1"/>
      </rPr>
      <t xml:space="preserve">(</t>
    </r>
    <r>
      <rPr>
        <b val="true"/>
        <sz val="16"/>
        <color rgb="FFFFFFFF"/>
        <rFont val="WenQuanYi Zen Hei"/>
        <family val="2"/>
      </rPr>
      <t xml:space="preserve">商品企画書</t>
    </r>
    <r>
      <rPr>
        <b val="true"/>
        <sz val="16"/>
        <color rgb="FFFFFFFF"/>
        <rFont val="Arial"/>
        <family val="0"/>
        <charset val="1"/>
      </rPr>
      <t xml:space="preserve">)</t>
    </r>
  </si>
  <si>
    <r>
      <rPr>
        <i val="true"/>
        <sz val="8"/>
        <rFont val="WenQuanYi Zen Hei"/>
        <family val="2"/>
      </rPr>
      <t xml:space="preserve">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入力欄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自動計算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黄色の欄は仮の記入例です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実際の内容に上書きしてください</t>
    </r>
    <r>
      <rPr>
        <i val="true"/>
        <sz val="8"/>
        <rFont val="Arial"/>
        <family val="0"/>
        <charset val="1"/>
      </rPr>
      <t xml:space="preserve">)</t>
    </r>
    <r>
      <rPr>
        <i val="true"/>
        <sz val="8"/>
        <rFont val="WenQuanYi Zen Hei"/>
        <family val="2"/>
      </rPr>
      <t xml:space="preserve">。</t>
    </r>
  </si>
  <si>
    <t xml:space="preserve">商談日</t>
  </si>
  <si>
    <t xml:space="preserve">2026/11/01</t>
  </si>
  <si>
    <t xml:space="preserve">提案先</t>
  </si>
  <si>
    <t xml:space="preserve">〇〇株式会社 ご担当者様</t>
  </si>
  <si>
    <t xml:space="preserve">提案者</t>
  </si>
  <si>
    <t xml:space="preserve">当店 〇〇</t>
  </si>
  <si>
    <r>
      <rPr>
        <b val="true"/>
        <sz val="11"/>
        <color rgb="FFFFFFFF"/>
        <rFont val="Arial"/>
        <family val="0"/>
        <charset val="1"/>
      </rPr>
      <t xml:space="preserve">1. </t>
    </r>
    <r>
      <rPr>
        <b val="true"/>
        <sz val="11"/>
        <color rgb="FFFFFFFF"/>
        <rFont val="WenQuanYi Zen Hei"/>
        <family val="2"/>
      </rPr>
      <t xml:space="preserve">商品概要</t>
    </r>
  </si>
  <si>
    <t xml:space="preserve">商品名</t>
  </si>
  <si>
    <t xml:space="preserve">〇〇ポテトチップス うすしお</t>
  </si>
  <si>
    <r>
      <rPr>
        <b val="true"/>
        <sz val="10"/>
        <rFont val="Arial"/>
        <family val="0"/>
        <charset val="1"/>
      </rPr>
      <t xml:space="preserve">JAN</t>
    </r>
    <r>
      <rPr>
        <b val="true"/>
        <sz val="10"/>
        <rFont val="WenQuanYi Zen Hei"/>
        <family val="2"/>
      </rPr>
      <t xml:space="preserve">コード</t>
    </r>
  </si>
  <si>
    <t xml:space="preserve">4900000000001</t>
  </si>
  <si>
    <t xml:space="preserve">メーカー・製造元</t>
  </si>
  <si>
    <t xml:space="preserve">〇〇食品株式会社</t>
  </si>
  <si>
    <t xml:space="preserve">カテゴリ</t>
  </si>
  <si>
    <t xml:space="preserve">スナック菓子</t>
  </si>
  <si>
    <t xml:space="preserve">規格・内容量</t>
  </si>
  <si>
    <t xml:space="preserve">60g</t>
  </si>
  <si>
    <r>
      <rPr>
        <b val="true"/>
        <sz val="10"/>
        <rFont val="WenQuanYi Zen Hei"/>
        <family val="2"/>
      </rPr>
      <t xml:space="preserve">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ケース</t>
    </r>
    <r>
      <rPr>
        <b val="true"/>
        <sz val="10"/>
        <rFont val="Arial"/>
        <family val="0"/>
        <charset val="1"/>
      </rPr>
      <t xml:space="preserve">)</t>
    </r>
  </si>
  <si>
    <t xml:space="preserve">保存方法</t>
  </si>
  <si>
    <r>
      <rPr>
        <sz val="10"/>
        <color rgb="FF0000FF"/>
        <rFont val="WenQuanYi Zen Hei"/>
        <family val="2"/>
      </rPr>
      <t xml:space="preserve">常温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直射日光・高温多湿を避ける</t>
    </r>
    <r>
      <rPr>
        <sz val="10"/>
        <color rgb="FF0000FF"/>
        <rFont val="Arial"/>
        <family val="0"/>
        <charset val="1"/>
      </rPr>
      <t xml:space="preserve">)</t>
    </r>
  </si>
  <si>
    <t xml:space="preserve">賞味期限</t>
  </si>
  <si>
    <r>
      <rPr>
        <sz val="10"/>
        <color rgb="FF0000FF"/>
        <rFont val="WenQuanYi Zen Hei"/>
        <family val="2"/>
      </rPr>
      <t xml:space="preserve">製造後 </t>
    </r>
    <r>
      <rPr>
        <sz val="10"/>
        <color rgb="FF0000FF"/>
        <rFont val="Arial"/>
        <family val="0"/>
        <charset val="1"/>
      </rPr>
      <t xml:space="preserve">180</t>
    </r>
    <r>
      <rPr>
        <sz val="10"/>
        <color rgb="FF0000FF"/>
        <rFont val="WenQuanYi Zen Hei"/>
        <family val="2"/>
      </rPr>
      <t xml:space="preserve">日</t>
    </r>
  </si>
  <si>
    <t xml:space="preserve">原産国</t>
  </si>
  <si>
    <t xml:space="preserve">日本</t>
  </si>
  <si>
    <r>
      <rPr>
        <b val="true"/>
        <sz val="10"/>
        <rFont val="WenQuanYi Zen Hei"/>
        <family val="2"/>
      </rPr>
      <t xml:space="preserve">発売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予定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日</t>
    </r>
  </si>
  <si>
    <t xml:space="preserve">2026/12/01</t>
  </si>
  <si>
    <r>
      <rPr>
        <b val="true"/>
        <sz val="11"/>
        <color rgb="FFFFFFFF"/>
        <rFont val="Arial"/>
        <family val="0"/>
        <charset val="1"/>
      </rPr>
      <t xml:space="preserve">2. </t>
    </r>
    <r>
      <rPr>
        <b val="true"/>
        <sz val="11"/>
        <color rgb="FFFFFFFF"/>
        <rFont val="WenQuanYi Zen Hei"/>
        <family val="2"/>
      </rPr>
      <t xml:space="preserve">価格・取引条件</t>
    </r>
  </si>
  <si>
    <r>
      <rPr>
        <b val="true"/>
        <sz val="10"/>
        <rFont val="WenQuanYi Zen Hei"/>
        <family val="2"/>
      </rPr>
      <t xml:space="preserve">希望小売価格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</si>
  <si>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卸価格・納価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</si>
  <si>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t xml:space="preserve">最低発注ロット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</si>
  <si>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ケース</t>
    </r>
    <r>
      <rPr>
        <sz val="10"/>
        <color rgb="FF0000FF"/>
        <rFont val="Arial"/>
        <family val="0"/>
        <charset val="1"/>
      </rPr>
      <t xml:space="preserve">(24</t>
    </r>
    <r>
      <rPr>
        <sz val="10"/>
        <color rgb="FF0000FF"/>
        <rFont val="WenQuanYi Zen Hei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)</t>
    </r>
  </si>
  <si>
    <t xml:space="preserve">納期</t>
  </si>
  <si>
    <r>
      <rPr>
        <sz val="10"/>
        <color rgb="FF0000FF"/>
        <rFont val="WenQuanYi Zen Hei"/>
        <family val="2"/>
      </rPr>
      <t xml:space="preserve">受注後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営業日</t>
    </r>
  </si>
  <si>
    <t xml:space="preserve">掛率</t>
  </si>
  <si>
    <r>
      <rPr>
        <b val="true"/>
        <sz val="10"/>
        <rFont val="WenQuanYi Zen Hei"/>
        <family val="2"/>
      </rPr>
      <t xml:space="preserve">想定粗利率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売価ベース</t>
    </r>
    <r>
      <rPr>
        <b val="true"/>
        <sz val="10"/>
        <rFont val="Arial"/>
        <family val="0"/>
        <charset val="1"/>
      </rPr>
      <t xml:space="preserve">)</t>
    </r>
  </si>
  <si>
    <t xml:space="preserve">支払条件</t>
  </si>
  <si>
    <t xml:space="preserve">月末締め翌月末払い</t>
  </si>
  <si>
    <r>
      <rPr>
        <b val="true"/>
        <sz val="11"/>
        <color rgb="FFFFFFFF"/>
        <rFont val="Arial"/>
        <family val="0"/>
        <charset val="1"/>
      </rPr>
      <t xml:space="preserve">3. </t>
    </r>
    <r>
      <rPr>
        <b val="true"/>
        <sz val="11"/>
        <color rgb="FFFFFFFF"/>
        <rFont val="WenQuanYi Zen Hei"/>
        <family val="2"/>
      </rPr>
      <t xml:space="preserve">商品特長・セールスポイント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</si>
  <si>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1</t>
    </r>
  </si>
  <si>
    <t xml:space="preserve">素材にこだわった、軽い食感のうすしお味</t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</si>
  <si>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2</t>
    </r>
  </si>
  <si>
    <t xml:space="preserve">大容量でコストパフォーマンスが高い</t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</si>
  <si>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3</t>
    </r>
  </si>
  <si>
    <t xml:space="preserve">常温保管でバックヤード負担が少ない</t>
  </si>
  <si>
    <r>
      <rPr>
        <b val="true"/>
        <sz val="11"/>
        <color rgb="FFFFFFFF"/>
        <rFont val="Arial"/>
        <family val="0"/>
        <charset val="1"/>
      </rPr>
      <t xml:space="preserve">4. </t>
    </r>
    <r>
      <rPr>
        <b val="true"/>
        <sz val="11"/>
        <color rgb="FFFFFFFF"/>
        <rFont val="WenQuanYi Zen Hei"/>
        <family val="2"/>
      </rPr>
      <t xml:space="preserve">提案内容</t>
    </r>
  </si>
  <si>
    <t xml:space="preserve">ターゲット顧客</t>
  </si>
  <si>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〜</t>
    </r>
    <r>
      <rPr>
        <sz val="10"/>
        <color rgb="FF0000FF"/>
        <rFont val="Arial"/>
        <family val="0"/>
        <charset val="1"/>
      </rPr>
      <t xml:space="preserve">40</t>
    </r>
    <r>
      <rPr>
        <sz val="10"/>
        <color rgb="FF0000FF"/>
        <rFont val="WenQuanYi Zen Hei"/>
        <family val="2"/>
      </rPr>
      <t xml:space="preserve">代の家庭向け・買い置き需要</t>
    </r>
  </si>
  <si>
    <t xml:space="preserve">提案売場・陳列</t>
  </si>
  <si>
    <r>
      <rPr>
        <sz val="10"/>
        <color rgb="FF0000FF"/>
        <rFont val="WenQuanYi Zen Hei"/>
        <family val="2"/>
      </rPr>
      <t xml:space="preserve">菓子売場 エンド陳列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棚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段目</t>
    </r>
  </si>
  <si>
    <t xml:space="preserve">販売実績・競合比較</t>
  </si>
  <si>
    <t xml:space="preserve">当店月間販売数 〇〇個。競合〇〇比で売価−〇円</t>
  </si>
  <si>
    <t xml:space="preserve">販促プラン</t>
  </si>
  <si>
    <r>
      <rPr>
        <sz val="10"/>
        <color rgb="FF0000FF"/>
        <rFont val="WenQuanYi Zen Hei"/>
        <family val="2"/>
      </rPr>
      <t xml:space="preserve">発売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週間は特売価格〇〇円、</t>
    </r>
    <r>
      <rPr>
        <sz val="10"/>
        <color rgb="FF0000FF"/>
        <rFont val="Arial"/>
        <family val="0"/>
        <charset val="1"/>
      </rPr>
      <t xml:space="preserve">POP</t>
    </r>
    <r>
      <rPr>
        <sz val="10"/>
        <color rgb="FF0000FF"/>
        <rFont val="WenQuanYi Zen Hei"/>
        <family val="2"/>
      </rPr>
      <t xml:space="preserve">・試食実施</t>
    </r>
  </si>
  <si>
    <r>
      <rPr>
        <b val="true"/>
        <sz val="11"/>
        <color rgb="FFFFFFFF"/>
        <rFont val="Arial"/>
        <family val="0"/>
        <charset val="1"/>
      </rPr>
      <t xml:space="preserve">5. </t>
    </r>
    <r>
      <rPr>
        <b val="true"/>
        <sz val="11"/>
        <color rgb="FFFFFFFF"/>
        <rFont val="WenQuanYi Zen Hei"/>
        <family val="2"/>
      </rPr>
      <t xml:space="preserve">備考・依頼事項</t>
    </r>
  </si>
  <si>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サンプル提供のお願い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ケース規格・パレット積付けの確認 など</t>
    </r>
  </si>
  <si>
    <r>
      <rPr>
        <b val="true"/>
        <sz val="10"/>
        <rFont val="WenQuanYi Zen Hei"/>
        <family val="2"/>
      </rPr>
      <t xml:space="preserve">商品画像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下記枠に貼付</t>
    </r>
    <r>
      <rPr>
        <b val="true"/>
        <sz val="10"/>
        <rFont val="Arial"/>
        <family val="0"/>
        <charset val="1"/>
      </rPr>
      <t xml:space="preserve">)</t>
    </r>
  </si>
  <si>
    <t xml:space="preserve">【商品画像貼付エリア】</t>
  </si>
  <si>
    <r>
      <rPr>
        <sz val="10"/>
        <color rgb="FF0000FF"/>
        <rFont val="WenQuanYi Zen Hei"/>
        <family val="2"/>
      </rPr>
      <t xml:space="preserve">〇〇ラーメン 醤油味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食パック</t>
    </r>
  </si>
  <si>
    <t xml:space="preserve">4900000000002</t>
  </si>
  <si>
    <t xml:space="preserve">〇〇製麺株式会社</t>
  </si>
  <si>
    <t xml:space="preserve">インスタント麺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</si>
  <si>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食入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WenQuanYi Zen Hei"/>
        <family val="2"/>
      </rPr>
      <t xml:space="preserve">食 </t>
    </r>
    <r>
      <rPr>
        <sz val="10"/>
        <color rgb="FF0000FF"/>
        <rFont val="Arial"/>
        <family val="0"/>
        <charset val="1"/>
      </rPr>
      <t xml:space="preserve">100g)</t>
    </r>
  </si>
  <si>
    <r>
      <rPr>
        <sz val="10"/>
        <color rgb="FF0000FF"/>
        <rFont val="WenQuanYi Zen Hei"/>
        <family val="2"/>
      </rPr>
      <t xml:space="preserve">製造後 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</si>
  <si>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ケース</t>
    </r>
    <r>
      <rPr>
        <sz val="10"/>
        <color rgb="FF0000FF"/>
        <rFont val="Arial"/>
        <family val="0"/>
        <charset val="1"/>
      </rPr>
      <t xml:space="preserve">(6</t>
    </r>
    <r>
      <rPr>
        <sz val="10"/>
        <color rgb="FF0000FF"/>
        <rFont val="WenQuanYi Zen Hei"/>
        <family val="2"/>
      </rPr>
      <t xml:space="preserve">パック</t>
    </r>
    <r>
      <rPr>
        <sz val="10"/>
        <color rgb="FF0000FF"/>
        <rFont val="Arial"/>
        <family val="0"/>
        <charset val="1"/>
      </rPr>
      <t xml:space="preserve">)</t>
    </r>
  </si>
  <si>
    <t xml:space="preserve">創業以来の定番、あっさり醤油スープ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</si>
  <si>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食パックで家庭の買い置きに最適</t>
    </r>
  </si>
  <si>
    <r>
      <rPr>
        <sz val="10"/>
        <color rgb="FF0000FF"/>
        <rFont val="WenQuanYi Zen Hei"/>
        <family val="2"/>
      </rPr>
      <t xml:space="preserve">調理時間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分、アレンジしやすい</t>
    </r>
  </si>
  <si>
    <t xml:space="preserve">ファミリー層・単身者の常備食</t>
  </si>
  <si>
    <t xml:space="preserve">麺類売場 平台 または 棚 中段</t>
  </si>
  <si>
    <t xml:space="preserve">当店月間販売数 〇〇パック。競合〇〇比で売価−〇円</t>
  </si>
  <si>
    <r>
      <rPr>
        <sz val="10"/>
        <color rgb="FF0000FF"/>
        <rFont val="WenQuanYi Zen Hei"/>
        <family val="2"/>
      </rPr>
      <t xml:space="preserve">まとめ買い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パックで〇〇円、レシピ</t>
    </r>
    <r>
      <rPr>
        <sz val="10"/>
        <color rgb="FF0000FF"/>
        <rFont val="Arial"/>
        <family val="0"/>
        <charset val="1"/>
      </rPr>
      <t xml:space="preserve">POP</t>
    </r>
    <r>
      <rPr>
        <sz val="10"/>
        <color rgb="FF0000FF"/>
        <rFont val="WenQuanYi Zen Hei"/>
        <family val="2"/>
      </rPr>
      <t xml:space="preserve">設置</t>
    </r>
  </si>
  <si>
    <r>
      <rPr>
        <sz val="10"/>
        <color rgb="FF0000FF"/>
        <rFont val="WenQuanYi Zen Hei"/>
        <family val="2"/>
      </rPr>
      <t xml:space="preserve">〇〇カレー 中辛 </t>
    </r>
    <r>
      <rPr>
        <sz val="10"/>
        <color rgb="FF0000FF"/>
        <rFont val="Arial"/>
        <family val="0"/>
        <charset val="1"/>
      </rPr>
      <t xml:space="preserve">200g</t>
    </r>
  </si>
  <si>
    <t xml:space="preserve">4900000000003</t>
  </si>
  <si>
    <t xml:space="preserve">〇〇フーズ株式会社</t>
  </si>
  <si>
    <t xml:space="preserve">レトルト食品</t>
  </si>
  <si>
    <r>
      <rPr>
        <sz val="10"/>
        <color rgb="FF0000FF"/>
        <rFont val="Arial"/>
        <family val="0"/>
        <charset val="1"/>
      </rPr>
      <t xml:space="preserve">200g(1</t>
    </r>
    <r>
      <rPr>
        <sz val="10"/>
        <color rgb="FF0000FF"/>
        <rFont val="WenQuanYi Zen Hei"/>
        <family val="2"/>
      </rPr>
      <t xml:space="preserve">人前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</si>
  <si>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製造後 </t>
    </r>
    <r>
      <rPr>
        <sz val="10"/>
        <color rgb="FF0000FF"/>
        <rFont val="Arial"/>
        <family val="0"/>
        <charset val="1"/>
      </rPr>
      <t xml:space="preserve">720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</si>
  <si>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ケース</t>
    </r>
    <r>
      <rPr>
        <sz val="10"/>
        <color rgb="FF0000FF"/>
        <rFont val="Arial"/>
        <family val="0"/>
        <charset val="1"/>
      </rPr>
      <t xml:space="preserve">(30</t>
    </r>
    <r>
      <rPr>
        <sz val="10"/>
        <color rgb="FF0000FF"/>
        <rFont val="WenQuanYi Zen Hei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</si>
  <si>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受注後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営業日</t>
    </r>
  </si>
  <si>
    <t xml:space="preserve">国産野菜をじっくり煮込んだコクのある中辛</t>
  </si>
  <si>
    <t xml:space="preserve">湯せん・レンジ対応で手軽</t>
  </si>
  <si>
    <t xml:space="preserve">賞味期限が長く、防災備蓄にも</t>
  </si>
  <si>
    <t xml:space="preserve">共働き世帯・一人暮らし・備蓄ニーズ</t>
  </si>
  <si>
    <t xml:space="preserve">レトルト売場 棚 目線の高さ</t>
  </si>
  <si>
    <r>
      <rPr>
        <sz val="10"/>
        <color rgb="FF0000FF"/>
        <rFont val="WenQuanYi Zen Hei"/>
        <family val="2"/>
      </rPr>
      <t xml:space="preserve">発売記念で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個パック販売、試食実施</t>
    </r>
  </si>
  <si>
    <r>
      <rPr>
        <sz val="10"/>
        <color rgb="FF0000FF"/>
        <rFont val="WenQuanYi Zen Hei"/>
        <family val="2"/>
      </rPr>
      <t xml:space="preserve">〇〇ツナ水煮 </t>
    </r>
    <r>
      <rPr>
        <sz val="10"/>
        <color rgb="FF0000FF"/>
        <rFont val="Arial"/>
        <family val="0"/>
        <charset val="1"/>
      </rPr>
      <t xml:space="preserve">70g×3</t>
    </r>
    <r>
      <rPr>
        <sz val="10"/>
        <color rgb="FF0000FF"/>
        <rFont val="WenQuanYi Zen Hei"/>
        <family val="2"/>
      </rPr>
      <t xml:space="preserve">缶パック</t>
    </r>
  </si>
  <si>
    <t xml:space="preserve">4900000000004</t>
  </si>
  <si>
    <t xml:space="preserve">〇〇水産株式会社</t>
  </si>
  <si>
    <t xml:space="preserve">缶詰</t>
  </si>
  <si>
    <r>
      <rPr>
        <sz val="10"/>
        <color rgb="FF0000FF"/>
        <rFont val="Arial"/>
        <family val="0"/>
        <charset val="1"/>
      </rPr>
      <t xml:space="preserve">70g×3</t>
    </r>
    <r>
      <rPr>
        <sz val="10"/>
        <color rgb="FF0000FF"/>
        <rFont val="WenQuanYi Zen Hei"/>
        <family val="2"/>
      </rPr>
      <t xml:space="preserve">缶</t>
    </r>
  </si>
  <si>
    <r>
      <rPr>
        <sz val="10"/>
        <color rgb="FF0000FF"/>
        <rFont val="WenQuanYi Zen Hei"/>
        <family val="2"/>
      </rPr>
      <t xml:space="preserve">製造後 </t>
    </r>
    <r>
      <rPr>
        <sz val="10"/>
        <color rgb="FF0000FF"/>
        <rFont val="Arial"/>
        <family val="0"/>
        <charset val="1"/>
      </rPr>
      <t xml:space="preserve">1,095</t>
    </r>
    <r>
      <rPr>
        <sz val="10"/>
        <color rgb="FF0000FF"/>
        <rFont val="WenQuanYi Zen Hei"/>
        <family val="2"/>
      </rPr>
      <t xml:space="preserve">日</t>
    </r>
  </si>
  <si>
    <t xml:space="preserve">タイ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</si>
  <si>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ケース</t>
    </r>
    <r>
      <rPr>
        <sz val="10"/>
        <color rgb="FF0000FF"/>
        <rFont val="Arial"/>
        <family val="0"/>
        <charset val="1"/>
      </rPr>
      <t xml:space="preserve">(24</t>
    </r>
    <r>
      <rPr>
        <sz val="10"/>
        <color rgb="FF0000FF"/>
        <rFont val="WenQuanYi Zen Hei"/>
        <family val="2"/>
      </rPr>
      <t xml:space="preserve">パック</t>
    </r>
    <r>
      <rPr>
        <sz val="10"/>
        <color rgb="FF0000FF"/>
        <rFont val="Arial"/>
        <family val="0"/>
        <charset val="1"/>
      </rPr>
      <t xml:space="preserve">)</t>
    </r>
  </si>
  <si>
    <t xml:space="preserve">水煮でヘルシー、サラダや料理に万能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</si>
  <si>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缶パックで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缶あたりの価格が割安</t>
    </r>
  </si>
  <si>
    <t xml:space="preserve">長期保存でき、備蓄にも適する</t>
  </si>
  <si>
    <t xml:space="preserve">健康志向層・調理を楽しむ家庭</t>
  </si>
  <si>
    <r>
      <rPr>
        <sz val="10"/>
        <color rgb="FF0000FF"/>
        <rFont val="WenQuanYi Zen Hei"/>
        <family val="2"/>
      </rPr>
      <t xml:space="preserve">缶詰売場 棚 中段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エンド陳列</t>
    </r>
  </si>
  <si>
    <t xml:space="preserve">レシピカード添付、まとめ買い割引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</si>
</sst>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WenQuanYi Zen Hei"/>
      <family val="2"/>
    </font>
    <font>
      <i val="true"/>
      <sz val="8"/>
      <name val="WenQuanYi Zen Hei"/>
      <family val="2"/>
    </font>
    <font>
      <i val="true"/>
      <sz val="8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808080"/>
      <name val="WenQuanYi Zen Hei"/>
      <family val="2"/>
    </font>
    <font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5</v>
      </c>
      <c r="E3" s="5"/>
      <c r="F3" s="3" t="s">
        <v>6</v>
      </c>
      <c r="G3" s="5" t="s">
        <v>7</v>
      </c>
      <c r="H3" s="5"/>
    </row>
    <row r="5" customFormat="false" ht="15" hidden="false" customHeight="true" outlineLevel="0" collapsed="false">
      <c r="A5" s="6" t="s">
        <v>8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9</v>
      </c>
      <c r="B6" s="5" t="s">
        <v>10</v>
      </c>
      <c r="C6" s="5"/>
      <c r="D6" s="5"/>
      <c r="E6" s="7" t="s">
        <v>11</v>
      </c>
      <c r="F6" s="8" t="s">
        <v>12</v>
      </c>
      <c r="G6" s="8"/>
      <c r="H6" s="8"/>
    </row>
    <row r="7" customFormat="false" ht="21.75" hidden="false" customHeight="true" outlineLevel="0" collapsed="false">
      <c r="A7" s="3" t="s">
        <v>13</v>
      </c>
      <c r="B7" s="5" t="s">
        <v>14</v>
      </c>
      <c r="C7" s="5"/>
      <c r="D7" s="5"/>
      <c r="E7" s="3" t="s">
        <v>15</v>
      </c>
      <c r="F7" s="5" t="s">
        <v>16</v>
      </c>
      <c r="G7" s="5"/>
      <c r="H7" s="5"/>
    </row>
    <row r="8" customFormat="false" ht="21.75" hidden="false" customHeight="true" outlineLevel="0" collapsed="false">
      <c r="A8" s="3" t="s">
        <v>17</v>
      </c>
      <c r="B8" s="8" t="s">
        <v>18</v>
      </c>
      <c r="C8" s="8"/>
      <c r="D8" s="8"/>
      <c r="E8" s="3" t="s">
        <v>19</v>
      </c>
      <c r="F8" s="8" t="n">
        <v>24</v>
      </c>
      <c r="G8" s="8"/>
      <c r="H8" s="8"/>
    </row>
    <row r="9" customFormat="false" ht="21.75" hidden="false" customHeight="true" outlineLevel="0" collapsed="false">
      <c r="A9" s="3" t="s">
        <v>20</v>
      </c>
      <c r="B9" s="5" t="s">
        <v>21</v>
      </c>
      <c r="C9" s="5"/>
      <c r="D9" s="5"/>
      <c r="E9" s="3" t="s">
        <v>22</v>
      </c>
      <c r="F9" s="5" t="s">
        <v>23</v>
      </c>
      <c r="G9" s="5"/>
      <c r="H9" s="5"/>
    </row>
    <row r="10" customFormat="false" ht="21.75" hidden="false" customHeight="true" outlineLevel="0" collapsed="false">
      <c r="A10" s="3" t="s">
        <v>24</v>
      </c>
      <c r="B10" s="5" t="s">
        <v>25</v>
      </c>
      <c r="C10" s="5"/>
      <c r="D10" s="5"/>
      <c r="E10" s="3" t="s">
        <v>26</v>
      </c>
      <c r="F10" s="8" t="s">
        <v>27</v>
      </c>
      <c r="G10" s="8"/>
      <c r="H10" s="8"/>
    </row>
    <row r="12" customFormat="false" ht="15" hidden="false" customHeight="true" outlineLevel="0" collapsed="false">
      <c r="A12" s="6" t="s">
        <v>28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29</v>
      </c>
      <c r="B13" s="9" t="n">
        <v>150</v>
      </c>
      <c r="C13" s="3" t="s">
        <v>30</v>
      </c>
      <c r="D13" s="9" t="n">
        <v>105</v>
      </c>
      <c r="E13" s="3" t="s">
        <v>31</v>
      </c>
      <c r="F13" s="4" t="s">
        <v>32</v>
      </c>
      <c r="G13" s="3" t="s">
        <v>33</v>
      </c>
      <c r="H13" s="10" t="s">
        <v>34</v>
      </c>
    </row>
    <row r="14" customFormat="false" ht="33.75" hidden="false" customHeight="true" outlineLevel="0" collapsed="false">
      <c r="A14" s="3" t="s">
        <v>35</v>
      </c>
      <c r="B14" s="11" t="n">
        <f aca="false">IF(OR(B13="",D13="",B13=0),"",D13/B13)</f>
        <v>0.7</v>
      </c>
      <c r="C14" s="3" t="s">
        <v>36</v>
      </c>
      <c r="D14" s="11" t="n">
        <f aca="false">IF(OR(B13="",D13="",B13=0),"",(B13-D13)/B13)</f>
        <v>0.3</v>
      </c>
      <c r="E14" s="3" t="s">
        <v>37</v>
      </c>
      <c r="F14" s="5" t="s">
        <v>38</v>
      </c>
      <c r="G14" s="5"/>
      <c r="H14" s="5"/>
    </row>
    <row r="16" customFormat="false" ht="15" hidden="false" customHeight="true" outlineLevel="0" collapsed="false">
      <c r="A16" s="6" t="s">
        <v>39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40</v>
      </c>
      <c r="B17" s="5" t="s">
        <v>41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42</v>
      </c>
      <c r="B18" s="5" t="s">
        <v>43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44</v>
      </c>
      <c r="B19" s="5" t="s">
        <v>45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46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47</v>
      </c>
      <c r="B22" s="8" t="s">
        <v>48</v>
      </c>
      <c r="C22" s="8"/>
      <c r="D22" s="8"/>
      <c r="E22" s="8"/>
      <c r="F22" s="8"/>
      <c r="G22" s="8"/>
      <c r="H22" s="8"/>
    </row>
    <row r="23" customFormat="false" ht="27.75" hidden="false" customHeight="true" outlineLevel="0" collapsed="false">
      <c r="A23" s="3" t="s">
        <v>49</v>
      </c>
      <c r="B23" s="5" t="s">
        <v>50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51</v>
      </c>
      <c r="B24" s="5" t="s">
        <v>52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53</v>
      </c>
      <c r="B25" s="5" t="s">
        <v>54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55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56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57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58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5</v>
      </c>
      <c r="E3" s="5"/>
      <c r="F3" s="3" t="s">
        <v>6</v>
      </c>
      <c r="G3" s="5" t="s">
        <v>7</v>
      </c>
      <c r="H3" s="5"/>
    </row>
    <row r="5" customFormat="false" ht="15" hidden="false" customHeight="true" outlineLevel="0" collapsed="false">
      <c r="A5" s="6" t="s">
        <v>8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9</v>
      </c>
      <c r="B6" s="5" t="s">
        <v>59</v>
      </c>
      <c r="C6" s="5"/>
      <c r="D6" s="5"/>
      <c r="E6" s="7" t="s">
        <v>11</v>
      </c>
      <c r="F6" s="8" t="s">
        <v>60</v>
      </c>
      <c r="G6" s="8"/>
      <c r="H6" s="8"/>
    </row>
    <row r="7" customFormat="false" ht="21.75" hidden="false" customHeight="true" outlineLevel="0" collapsed="false">
      <c r="A7" s="3" t="s">
        <v>13</v>
      </c>
      <c r="B7" s="5" t="s">
        <v>61</v>
      </c>
      <c r="C7" s="5"/>
      <c r="D7" s="5"/>
      <c r="E7" s="3" t="s">
        <v>15</v>
      </c>
      <c r="F7" s="5" t="s">
        <v>62</v>
      </c>
      <c r="G7" s="5"/>
      <c r="H7" s="5"/>
    </row>
    <row r="8" customFormat="false" ht="21.75" hidden="false" customHeight="true" outlineLevel="0" collapsed="false">
      <c r="A8" s="3" t="s">
        <v>17</v>
      </c>
      <c r="B8" s="8" t="s">
        <v>63</v>
      </c>
      <c r="C8" s="8"/>
      <c r="D8" s="8"/>
      <c r="E8" s="3" t="s">
        <v>19</v>
      </c>
      <c r="F8" s="8" t="n">
        <v>6</v>
      </c>
      <c r="G8" s="8"/>
      <c r="H8" s="8"/>
    </row>
    <row r="9" customFormat="false" ht="21.75" hidden="false" customHeight="true" outlineLevel="0" collapsed="false">
      <c r="A9" s="3" t="s">
        <v>20</v>
      </c>
      <c r="B9" s="5" t="s">
        <v>21</v>
      </c>
      <c r="C9" s="5"/>
      <c r="D9" s="5"/>
      <c r="E9" s="3" t="s">
        <v>22</v>
      </c>
      <c r="F9" s="5" t="s">
        <v>64</v>
      </c>
      <c r="G9" s="5"/>
      <c r="H9" s="5"/>
    </row>
    <row r="10" customFormat="false" ht="21.75" hidden="false" customHeight="true" outlineLevel="0" collapsed="false">
      <c r="A10" s="3" t="s">
        <v>24</v>
      </c>
      <c r="B10" s="5" t="s">
        <v>25</v>
      </c>
      <c r="C10" s="5"/>
      <c r="D10" s="5"/>
      <c r="E10" s="3" t="s">
        <v>26</v>
      </c>
      <c r="F10" s="8" t="s">
        <v>27</v>
      </c>
      <c r="G10" s="8"/>
      <c r="H10" s="8"/>
    </row>
    <row r="12" customFormat="false" ht="15" hidden="false" customHeight="true" outlineLevel="0" collapsed="false">
      <c r="A12" s="6" t="s">
        <v>28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29</v>
      </c>
      <c r="B13" s="9" t="n">
        <v>398</v>
      </c>
      <c r="C13" s="3" t="s">
        <v>30</v>
      </c>
      <c r="D13" s="9" t="n">
        <v>290</v>
      </c>
      <c r="E13" s="3" t="s">
        <v>31</v>
      </c>
      <c r="F13" s="4" t="s">
        <v>65</v>
      </c>
      <c r="G13" s="3" t="s">
        <v>33</v>
      </c>
      <c r="H13" s="10" t="s">
        <v>34</v>
      </c>
    </row>
    <row r="14" customFormat="false" ht="33.75" hidden="false" customHeight="true" outlineLevel="0" collapsed="false">
      <c r="A14" s="3" t="s">
        <v>35</v>
      </c>
      <c r="B14" s="11" t="n">
        <f aca="false">IF(OR(B13="",D13="",B13=0),"",D13/B13)</f>
        <v>0.728643216080402</v>
      </c>
      <c r="C14" s="3" t="s">
        <v>36</v>
      </c>
      <c r="D14" s="11" t="n">
        <f aca="false">IF(OR(B13="",D13="",B13=0),"",(B13-D13)/B13)</f>
        <v>0.271356783919598</v>
      </c>
      <c r="E14" s="3" t="s">
        <v>37</v>
      </c>
      <c r="F14" s="5" t="s">
        <v>38</v>
      </c>
      <c r="G14" s="5"/>
      <c r="H14" s="5"/>
    </row>
    <row r="16" customFormat="false" ht="15" hidden="false" customHeight="true" outlineLevel="0" collapsed="false">
      <c r="A16" s="6" t="s">
        <v>39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40</v>
      </c>
      <c r="B17" s="5" t="s">
        <v>66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42</v>
      </c>
      <c r="B18" s="8" t="s">
        <v>67</v>
      </c>
      <c r="C18" s="8"/>
      <c r="D18" s="8"/>
      <c r="E18" s="8"/>
      <c r="F18" s="8"/>
      <c r="G18" s="8"/>
      <c r="H18" s="8"/>
    </row>
    <row r="19" customFormat="false" ht="15" hidden="false" customHeight="true" outlineLevel="0" collapsed="false">
      <c r="A19" s="3" t="s">
        <v>44</v>
      </c>
      <c r="B19" s="5" t="s">
        <v>68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46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47</v>
      </c>
      <c r="B22" s="5" t="s">
        <v>69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49</v>
      </c>
      <c r="B23" s="5" t="s">
        <v>70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51</v>
      </c>
      <c r="B24" s="5" t="s">
        <v>71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53</v>
      </c>
      <c r="B25" s="5" t="s">
        <v>72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55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56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57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58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5</v>
      </c>
      <c r="E3" s="5"/>
      <c r="F3" s="3" t="s">
        <v>6</v>
      </c>
      <c r="G3" s="5" t="s">
        <v>7</v>
      </c>
      <c r="H3" s="5"/>
    </row>
    <row r="5" customFormat="false" ht="15" hidden="false" customHeight="true" outlineLevel="0" collapsed="false">
      <c r="A5" s="6" t="s">
        <v>8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9</v>
      </c>
      <c r="B6" s="5" t="s">
        <v>73</v>
      </c>
      <c r="C6" s="5"/>
      <c r="D6" s="5"/>
      <c r="E6" s="7" t="s">
        <v>11</v>
      </c>
      <c r="F6" s="8" t="s">
        <v>74</v>
      </c>
      <c r="G6" s="8"/>
      <c r="H6" s="8"/>
    </row>
    <row r="7" customFormat="false" ht="21.75" hidden="false" customHeight="true" outlineLevel="0" collapsed="false">
      <c r="A7" s="3" t="s">
        <v>13</v>
      </c>
      <c r="B7" s="5" t="s">
        <v>75</v>
      </c>
      <c r="C7" s="5"/>
      <c r="D7" s="5"/>
      <c r="E7" s="3" t="s">
        <v>15</v>
      </c>
      <c r="F7" s="5" t="s">
        <v>76</v>
      </c>
      <c r="G7" s="5"/>
      <c r="H7" s="5"/>
    </row>
    <row r="8" customFormat="false" ht="21.75" hidden="false" customHeight="true" outlineLevel="0" collapsed="false">
      <c r="A8" s="3" t="s">
        <v>17</v>
      </c>
      <c r="B8" s="8" t="s">
        <v>77</v>
      </c>
      <c r="C8" s="8"/>
      <c r="D8" s="8"/>
      <c r="E8" s="3" t="s">
        <v>19</v>
      </c>
      <c r="F8" s="8" t="n">
        <v>30</v>
      </c>
      <c r="G8" s="8"/>
      <c r="H8" s="8"/>
    </row>
    <row r="9" customFormat="false" ht="21.75" hidden="false" customHeight="true" outlineLevel="0" collapsed="false">
      <c r="A9" s="3" t="s">
        <v>20</v>
      </c>
      <c r="B9" s="5" t="s">
        <v>21</v>
      </c>
      <c r="C9" s="5"/>
      <c r="D9" s="5"/>
      <c r="E9" s="3" t="s">
        <v>22</v>
      </c>
      <c r="F9" s="5" t="s">
        <v>78</v>
      </c>
      <c r="G9" s="5"/>
      <c r="H9" s="5"/>
    </row>
    <row r="10" customFormat="false" ht="21.75" hidden="false" customHeight="true" outlineLevel="0" collapsed="false">
      <c r="A10" s="3" t="s">
        <v>24</v>
      </c>
      <c r="B10" s="5" t="s">
        <v>25</v>
      </c>
      <c r="C10" s="5"/>
      <c r="D10" s="5"/>
      <c r="E10" s="3" t="s">
        <v>26</v>
      </c>
      <c r="F10" s="8" t="s">
        <v>27</v>
      </c>
      <c r="G10" s="8"/>
      <c r="H10" s="8"/>
    </row>
    <row r="12" customFormat="false" ht="15" hidden="false" customHeight="true" outlineLevel="0" collapsed="false">
      <c r="A12" s="6" t="s">
        <v>28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29</v>
      </c>
      <c r="B13" s="9" t="n">
        <v>178</v>
      </c>
      <c r="C13" s="3" t="s">
        <v>30</v>
      </c>
      <c r="D13" s="9" t="n">
        <v>125</v>
      </c>
      <c r="E13" s="3" t="s">
        <v>31</v>
      </c>
      <c r="F13" s="4" t="s">
        <v>79</v>
      </c>
      <c r="G13" s="3" t="s">
        <v>33</v>
      </c>
      <c r="H13" s="10" t="s">
        <v>80</v>
      </c>
    </row>
    <row r="14" customFormat="false" ht="33.75" hidden="false" customHeight="true" outlineLevel="0" collapsed="false">
      <c r="A14" s="3" t="s">
        <v>35</v>
      </c>
      <c r="B14" s="11" t="n">
        <f aca="false">IF(OR(B13="",D13="",B13=0),"",D13/B13)</f>
        <v>0.702247191011236</v>
      </c>
      <c r="C14" s="3" t="s">
        <v>36</v>
      </c>
      <c r="D14" s="11" t="n">
        <f aca="false">IF(OR(B13="",D13="",B13=0),"",(B13-D13)/B13)</f>
        <v>0.297752808988764</v>
      </c>
      <c r="E14" s="3" t="s">
        <v>37</v>
      </c>
      <c r="F14" s="5" t="s">
        <v>38</v>
      </c>
      <c r="G14" s="5"/>
      <c r="H14" s="5"/>
    </row>
    <row r="16" customFormat="false" ht="15" hidden="false" customHeight="true" outlineLevel="0" collapsed="false">
      <c r="A16" s="6" t="s">
        <v>39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40</v>
      </c>
      <c r="B17" s="5" t="s">
        <v>81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42</v>
      </c>
      <c r="B18" s="5" t="s">
        <v>82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44</v>
      </c>
      <c r="B19" s="5" t="s">
        <v>83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46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47</v>
      </c>
      <c r="B22" s="5" t="s">
        <v>84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49</v>
      </c>
      <c r="B23" s="5" t="s">
        <v>85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51</v>
      </c>
      <c r="B24" s="5" t="s">
        <v>52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53</v>
      </c>
      <c r="B25" s="5" t="s">
        <v>86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55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56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57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58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5</v>
      </c>
      <c r="E3" s="5"/>
      <c r="F3" s="3" t="s">
        <v>6</v>
      </c>
      <c r="G3" s="5" t="s">
        <v>7</v>
      </c>
      <c r="H3" s="5"/>
    </row>
    <row r="5" customFormat="false" ht="15" hidden="false" customHeight="true" outlineLevel="0" collapsed="false">
      <c r="A5" s="6" t="s">
        <v>8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9</v>
      </c>
      <c r="B6" s="5" t="s">
        <v>87</v>
      </c>
      <c r="C6" s="5"/>
      <c r="D6" s="5"/>
      <c r="E6" s="7" t="s">
        <v>11</v>
      </c>
      <c r="F6" s="8" t="s">
        <v>88</v>
      </c>
      <c r="G6" s="8"/>
      <c r="H6" s="8"/>
    </row>
    <row r="7" customFormat="false" ht="21.75" hidden="false" customHeight="true" outlineLevel="0" collapsed="false">
      <c r="A7" s="3" t="s">
        <v>13</v>
      </c>
      <c r="B7" s="5" t="s">
        <v>89</v>
      </c>
      <c r="C7" s="5"/>
      <c r="D7" s="5"/>
      <c r="E7" s="3" t="s">
        <v>15</v>
      </c>
      <c r="F7" s="5" t="s">
        <v>90</v>
      </c>
      <c r="G7" s="5"/>
      <c r="H7" s="5"/>
    </row>
    <row r="8" customFormat="false" ht="21.75" hidden="false" customHeight="true" outlineLevel="0" collapsed="false">
      <c r="A8" s="3" t="s">
        <v>17</v>
      </c>
      <c r="B8" s="8" t="s">
        <v>91</v>
      </c>
      <c r="C8" s="8"/>
      <c r="D8" s="8"/>
      <c r="E8" s="3" t="s">
        <v>19</v>
      </c>
      <c r="F8" s="8" t="n">
        <v>24</v>
      </c>
      <c r="G8" s="8"/>
      <c r="H8" s="8"/>
    </row>
    <row r="9" customFormat="false" ht="21.75" hidden="false" customHeight="true" outlineLevel="0" collapsed="false">
      <c r="A9" s="3" t="s">
        <v>20</v>
      </c>
      <c r="B9" s="5" t="s">
        <v>21</v>
      </c>
      <c r="C9" s="5"/>
      <c r="D9" s="5"/>
      <c r="E9" s="3" t="s">
        <v>22</v>
      </c>
      <c r="F9" s="5" t="s">
        <v>92</v>
      </c>
      <c r="G9" s="5"/>
      <c r="H9" s="5"/>
    </row>
    <row r="10" customFormat="false" ht="21.75" hidden="false" customHeight="true" outlineLevel="0" collapsed="false">
      <c r="A10" s="3" t="s">
        <v>24</v>
      </c>
      <c r="B10" s="5" t="s">
        <v>93</v>
      </c>
      <c r="C10" s="5"/>
      <c r="D10" s="5"/>
      <c r="E10" s="3" t="s">
        <v>26</v>
      </c>
      <c r="F10" s="8" t="s">
        <v>27</v>
      </c>
      <c r="G10" s="8"/>
      <c r="H10" s="8"/>
    </row>
    <row r="12" customFormat="false" ht="15" hidden="false" customHeight="true" outlineLevel="0" collapsed="false">
      <c r="A12" s="6" t="s">
        <v>28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29</v>
      </c>
      <c r="B13" s="9" t="n">
        <v>298</v>
      </c>
      <c r="C13" s="3" t="s">
        <v>30</v>
      </c>
      <c r="D13" s="9" t="n">
        <v>215</v>
      </c>
      <c r="E13" s="3" t="s">
        <v>31</v>
      </c>
      <c r="F13" s="4" t="s">
        <v>94</v>
      </c>
      <c r="G13" s="3" t="s">
        <v>33</v>
      </c>
      <c r="H13" s="10" t="s">
        <v>80</v>
      </c>
    </row>
    <row r="14" customFormat="false" ht="33.75" hidden="false" customHeight="true" outlineLevel="0" collapsed="false">
      <c r="A14" s="3" t="s">
        <v>35</v>
      </c>
      <c r="B14" s="11" t="n">
        <f aca="false">IF(OR(B13="",D13="",B13=0),"",D13/B13)</f>
        <v>0.721476510067114</v>
      </c>
      <c r="C14" s="3" t="s">
        <v>36</v>
      </c>
      <c r="D14" s="11" t="n">
        <f aca="false">IF(OR(B13="",D13="",B13=0),"",(B13-D13)/B13)</f>
        <v>0.278523489932886</v>
      </c>
      <c r="E14" s="3" t="s">
        <v>37</v>
      </c>
      <c r="F14" s="5" t="s">
        <v>38</v>
      </c>
      <c r="G14" s="5"/>
      <c r="H14" s="5"/>
    </row>
    <row r="16" customFormat="false" ht="15" hidden="false" customHeight="true" outlineLevel="0" collapsed="false">
      <c r="A16" s="6" t="s">
        <v>39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40</v>
      </c>
      <c r="B17" s="5" t="s">
        <v>95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42</v>
      </c>
      <c r="B18" s="8" t="s">
        <v>96</v>
      </c>
      <c r="C18" s="8"/>
      <c r="D18" s="8"/>
      <c r="E18" s="8"/>
      <c r="F18" s="8"/>
      <c r="G18" s="8"/>
      <c r="H18" s="8"/>
    </row>
    <row r="19" customFormat="false" ht="15" hidden="false" customHeight="true" outlineLevel="0" collapsed="false">
      <c r="A19" s="3" t="s">
        <v>44</v>
      </c>
      <c r="B19" s="5" t="s">
        <v>97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46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47</v>
      </c>
      <c r="B22" s="5" t="s">
        <v>98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49</v>
      </c>
      <c r="B23" s="5" t="s">
        <v>99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51</v>
      </c>
      <c r="B24" s="5" t="s">
        <v>71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53</v>
      </c>
      <c r="B25" s="5" t="s">
        <v>100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55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56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57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58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2026-10-22T00:49:22Z</dcterms:created>
  <dc:creator>openpyxl</dc:creator>
  <dc:description/>
  <dc:language>en-US</dc:language>
  <cp:lastModifiedBy/>
  <dcterms:modified xsi:type="dcterms:W3CDTF">2026-10-22T00:49:22Z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